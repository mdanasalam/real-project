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A9AA673-9095-40C0-B4FF-C6A4129A6B4D}" xr6:coauthVersionLast="47" xr6:coauthVersionMax="47" xr10:uidLastSave="{00000000-0000-0000-0000-000000000000}"/>
  <bookViews>
    <workbookView xWindow="-110" yWindow="-110" windowWidth="19420" windowHeight="10300" xr2:uid="{750FDAA8-D93F-4B26-8D23-A40D9FF7F198}"/>
  </bookViews>
  <sheets>
    <sheet name="Car_Pr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" l="1"/>
  <c r="O1048576" i="1"/>
</calcChain>
</file>

<file path=xl/sharedStrings.xml><?xml version="1.0" encoding="utf-8"?>
<sst xmlns="http://schemas.openxmlformats.org/spreadsheetml/2006/main" count="226" uniqueCount="112">
  <si>
    <t>year</t>
  </si>
  <si>
    <t>make</t>
  </si>
  <si>
    <t>model</t>
  </si>
  <si>
    <t>trim</t>
  </si>
  <si>
    <t>body</t>
  </si>
  <si>
    <t>transmission</t>
  </si>
  <si>
    <t>vin</t>
  </si>
  <si>
    <t>state</t>
  </si>
  <si>
    <t>condition</t>
  </si>
  <si>
    <t>odometer</t>
  </si>
  <si>
    <t>color</t>
  </si>
  <si>
    <t>interior</t>
  </si>
  <si>
    <t>seller</t>
  </si>
  <si>
    <t>mmr</t>
  </si>
  <si>
    <t>Kia</t>
  </si>
  <si>
    <t>Sorento</t>
  </si>
  <si>
    <t>LX</t>
  </si>
  <si>
    <t>SUV</t>
  </si>
  <si>
    <t>automatic</t>
  </si>
  <si>
    <t>5xyktca69fg566472</t>
  </si>
  <si>
    <t>ca</t>
  </si>
  <si>
    <t>white</t>
  </si>
  <si>
    <t>black</t>
  </si>
  <si>
    <t>kia motors america  inc</t>
  </si>
  <si>
    <t>Tue Dec 16 2014 12:30:00 GMT-0800 (PST)</t>
  </si>
  <si>
    <t>5xyktca69fg561319</t>
  </si>
  <si>
    <t>beige</t>
  </si>
  <si>
    <t>BMW</t>
  </si>
  <si>
    <t>3 Series</t>
  </si>
  <si>
    <t>328i SULEV</t>
  </si>
  <si>
    <t>Sedan</t>
  </si>
  <si>
    <t>wba3c1c51ek116351</t>
  </si>
  <si>
    <t>gray</t>
  </si>
  <si>
    <t>financial services remarketing (lease)</t>
  </si>
  <si>
    <t>Thu Jan 15 2015 04:30:00 GMT-0800 (PST)</t>
  </si>
  <si>
    <t>Volvo</t>
  </si>
  <si>
    <t>S60</t>
  </si>
  <si>
    <t>T5</t>
  </si>
  <si>
    <t>yv1612tb4f1310987</t>
  </si>
  <si>
    <t>volvo na rep/world omni</t>
  </si>
  <si>
    <t>Thu Jan 29 2015 04:30:00 GMT-0800 (PST)</t>
  </si>
  <si>
    <t>6 Series Gran Coupe</t>
  </si>
  <si>
    <t>650i</t>
  </si>
  <si>
    <t>wba6b2c57ed129731</t>
  </si>
  <si>
    <t>Thu Dec 18 2014 12:30:00 GMT-0800 (PST)</t>
  </si>
  <si>
    <t>Nissan</t>
  </si>
  <si>
    <t>Altima</t>
  </si>
  <si>
    <t>2.5 S</t>
  </si>
  <si>
    <t>1n4al3ap1fn326013</t>
  </si>
  <si>
    <t>enterprise vehicle exchange / tra / rental / tulsa</t>
  </si>
  <si>
    <t>Tue Dec 30 2014 12:00:00 GMT-0800 (PST)</t>
  </si>
  <si>
    <t>M5</t>
  </si>
  <si>
    <t>Base</t>
  </si>
  <si>
    <t>wbsfv9c51ed593089</t>
  </si>
  <si>
    <t>the hertz corporation</t>
  </si>
  <si>
    <t>Wed Dec 17 2014 12:30:00 GMT-0800 (PST)</t>
  </si>
  <si>
    <t>Chevrolet</t>
  </si>
  <si>
    <t>Cruze</t>
  </si>
  <si>
    <t>1LT</t>
  </si>
  <si>
    <t>1g1pc5sb2e7128460</t>
  </si>
  <si>
    <t>Tue Dec 16 2014 13:00:00 GMT-0800 (PST)</t>
  </si>
  <si>
    <t>Audi</t>
  </si>
  <si>
    <t>A4</t>
  </si>
  <si>
    <t>2.0T Premium Plus quattro</t>
  </si>
  <si>
    <t>wauffafl3en030343</t>
  </si>
  <si>
    <t>audi mission viejo</t>
  </si>
  <si>
    <t>Thu Dec 18 2014 12:00:00 GMT-0800 (PST)</t>
  </si>
  <si>
    <t>Camaro</t>
  </si>
  <si>
    <t>LT</t>
  </si>
  <si>
    <t>Convertible</t>
  </si>
  <si>
    <t>2g1fb3d37e9218789</t>
  </si>
  <si>
    <t>red</t>
  </si>
  <si>
    <t>d/m auto sales inc</t>
  </si>
  <si>
    <t>Tue Jan 20 2015 04:00:00 GMT-0800 (PST)</t>
  </si>
  <si>
    <t>A6</t>
  </si>
  <si>
    <t>3.0T Prestige quattro</t>
  </si>
  <si>
    <t>wauhgafc0en062916</t>
  </si>
  <si>
    <t>desert auto trade</t>
  </si>
  <si>
    <t>Optima</t>
  </si>
  <si>
    <t>5xxgm4a73fg353538</t>
  </si>
  <si>
    <t>tan</t>
  </si>
  <si>
    <t>kia motors finance</t>
  </si>
  <si>
    <t>Tue Dec 16 2014 12:00:00 GMT-0800 (PST)</t>
  </si>
  <si>
    <t>Ford</t>
  </si>
  <si>
    <t>Fusion</t>
  </si>
  <si>
    <t>SE</t>
  </si>
  <si>
    <t>3fa6p0hdxfr145753</t>
  </si>
  <si>
    <t>Tue Jan 13 2015 12:00:00 GMT-0800 (PST)</t>
  </si>
  <si>
    <t>5xyktca66fg561407</t>
  </si>
  <si>
    <t>silver</t>
  </si>
  <si>
    <t>2LT</t>
  </si>
  <si>
    <t>1g1pe5sbxe7120097</t>
  </si>
  <si>
    <t>blue</t>
  </si>
  <si>
    <t>avis rac/san leandro</t>
  </si>
  <si>
    <t>1n4al3ap5fc124223</t>
  </si>
  <si>
    <t>Tue Dec 23 2014 12:00:00 GMT-0800 (PST)</t>
  </si>
  <si>
    <t>Hyundai</t>
  </si>
  <si>
    <t>Sonata</t>
  </si>
  <si>
    <t>5npe24af4fh001562</t>
  </si>
  <si>
    <t>â€”</t>
  </si>
  <si>
    <t>avis tra</t>
  </si>
  <si>
    <t>Q5</t>
  </si>
  <si>
    <t>wa1lfafpxea085074</t>
  </si>
  <si>
    <t>audi north scottsdale</t>
  </si>
  <si>
    <t>LS</t>
  </si>
  <si>
    <t>Coupe</t>
  </si>
  <si>
    <t>2g1fa1e39e9134494</t>
  </si>
  <si>
    <t>wells fargo dealer services</t>
  </si>
  <si>
    <t>Tue Dec 30 2014 15:00:00 GMT-0800 (PST)</t>
  </si>
  <si>
    <t>Total_price</t>
  </si>
  <si>
    <t>sale_date</t>
  </si>
  <si>
    <t>selingprice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</si>
</sst>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0" formatCode="&quot;$&quot;#,##0.00"/>
  </numFmts>
  <fonts count="6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u/>
      <sz val="20"/>
      <color theme="1"/>
      <name val="Aptos Narrow"/>
      <family val="2"/>
      <scheme val="minor"/>
    </font>
    <font>
      <b/>
      <i/>
      <u/>
      <sz val="20"/>
      <color theme="8" tint="-0.499984740745262"/>
      <name val="Aptos Narrow"/>
      <family val="2"/>
      <scheme val="minor"/>
    </font>
    <font>
      <sz val="16"/>
      <color theme="8" tint="-0.499984740745262"/>
      <name val="Aptos Narrow"/>
      <family val="2"/>
      <scheme val="minor"/>
    </font>
    <font>
      <b/>
      <i/>
      <u/>
      <sz val="20"/>
      <color theme="8" tint="-0.499984740745262"/>
      <name val="Castellar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5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44" fontId="4" fillId="3" borderId="1" xfId="0" applyNumberFormat="1" applyFont="1" applyFill="1" applyBorder="1" applyAlignment="1">
      <alignment horizontal="center"/>
    </xf>
    <xf numFmtId="15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2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170" fontId="4" fillId="3" borderId="1" xfId="0" applyNumberFormat="1" applyFon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9440-63B8-4EB1-B210-DE19EA66C88B}">
  <sheetPr>
    <tabColor rgb="FFFF00FF"/>
  </sheetPr>
  <dimension ref="A1:P1048576"/>
  <sheetViews>
    <sheetView tabSelected="1" zoomScale="111" workbookViewId="0">
      <selection activeCell="B3" sqref="B3"/>
    </sheetView>
  </sheetViews>
  <sheetFormatPr defaultRowHeight="14.5" x14ac:dyDescent="0.35"/>
  <cols>
    <col min="1" max="15" width="51.81640625" customWidth="1"/>
    <col min="16" max="16" width="51.81640625" style="1" customWidth="1"/>
    <col min="17" max="17" width="12.6328125" customWidth="1"/>
  </cols>
  <sheetData>
    <row r="1" spans="1:16" s="2" customFormat="1" ht="41.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111</v>
      </c>
      <c r="P1" s="6" t="s">
        <v>110</v>
      </c>
    </row>
    <row r="2" spans="1:16" s="3" customFormat="1" ht="41.5" customHeight="1" x14ac:dyDescent="0.5">
      <c r="A2" s="7">
        <v>2015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8" t="s">
        <v>19</v>
      </c>
      <c r="H2" s="7" t="s">
        <v>20</v>
      </c>
      <c r="I2" s="9">
        <v>5</v>
      </c>
      <c r="J2" s="8">
        <v>16639</v>
      </c>
      <c r="K2" s="7" t="s">
        <v>21</v>
      </c>
      <c r="L2" s="7" t="s">
        <v>22</v>
      </c>
      <c r="M2" s="7" t="s">
        <v>23</v>
      </c>
      <c r="N2" s="7">
        <v>20500</v>
      </c>
      <c r="O2" s="10">
        <v>21500</v>
      </c>
      <c r="P2" s="11" t="s">
        <v>24</v>
      </c>
    </row>
    <row r="3" spans="1:16" s="3" customFormat="1" ht="41.5" customHeight="1" x14ac:dyDescent="0.5">
      <c r="A3" s="7">
        <v>2015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8" t="s">
        <v>25</v>
      </c>
      <c r="H3" s="7" t="s">
        <v>20</v>
      </c>
      <c r="I3" s="9">
        <v>5</v>
      </c>
      <c r="J3" s="8">
        <v>9393</v>
      </c>
      <c r="K3" s="7" t="s">
        <v>21</v>
      </c>
      <c r="L3" s="7" t="s">
        <v>26</v>
      </c>
      <c r="M3" s="7" t="s">
        <v>23</v>
      </c>
      <c r="N3" s="7">
        <v>20800</v>
      </c>
      <c r="O3" s="10">
        <v>21500</v>
      </c>
      <c r="P3" s="11" t="s">
        <v>24</v>
      </c>
    </row>
    <row r="4" spans="1:16" s="3" customFormat="1" ht="41.5" customHeight="1" x14ac:dyDescent="0.5">
      <c r="A4" s="7">
        <v>2014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18</v>
      </c>
      <c r="G4" s="8" t="s">
        <v>31</v>
      </c>
      <c r="H4" s="7" t="s">
        <v>20</v>
      </c>
      <c r="I4" s="9">
        <v>45</v>
      </c>
      <c r="J4" s="8">
        <v>1331</v>
      </c>
      <c r="K4" s="7" t="s">
        <v>32</v>
      </c>
      <c r="L4" s="7" t="s">
        <v>22</v>
      </c>
      <c r="M4" s="7" t="s">
        <v>33</v>
      </c>
      <c r="N4" s="7">
        <v>31900</v>
      </c>
      <c r="O4" s="10">
        <v>30000</v>
      </c>
      <c r="P4" s="11" t="s">
        <v>34</v>
      </c>
    </row>
    <row r="5" spans="1:16" s="3" customFormat="1" ht="41.5" customHeight="1" x14ac:dyDescent="0.5">
      <c r="A5" s="7">
        <v>2015</v>
      </c>
      <c r="B5" s="7" t="s">
        <v>35</v>
      </c>
      <c r="C5" s="7" t="s">
        <v>36</v>
      </c>
      <c r="D5" s="7" t="s">
        <v>37</v>
      </c>
      <c r="E5" s="7" t="s">
        <v>30</v>
      </c>
      <c r="F5" s="7" t="s">
        <v>18</v>
      </c>
      <c r="G5" s="8" t="s">
        <v>38</v>
      </c>
      <c r="H5" s="7" t="s">
        <v>20</v>
      </c>
      <c r="I5" s="9">
        <v>41</v>
      </c>
      <c r="J5" s="8">
        <v>14282</v>
      </c>
      <c r="K5" s="7" t="s">
        <v>21</v>
      </c>
      <c r="L5" s="7" t="s">
        <v>22</v>
      </c>
      <c r="M5" s="7" t="s">
        <v>39</v>
      </c>
      <c r="N5" s="7">
        <v>27500</v>
      </c>
      <c r="O5" s="10">
        <v>27750</v>
      </c>
      <c r="P5" s="11" t="s">
        <v>40</v>
      </c>
    </row>
    <row r="6" spans="1:16" s="3" customFormat="1" ht="41.5" customHeight="1" x14ac:dyDescent="0.5">
      <c r="A6" s="7">
        <v>2014</v>
      </c>
      <c r="B6" s="7" t="s">
        <v>27</v>
      </c>
      <c r="C6" s="7" t="s">
        <v>41</v>
      </c>
      <c r="D6" s="7" t="s">
        <v>42</v>
      </c>
      <c r="E6" s="7" t="s">
        <v>30</v>
      </c>
      <c r="F6" s="7" t="s">
        <v>18</v>
      </c>
      <c r="G6" s="8" t="s">
        <v>43</v>
      </c>
      <c r="H6" s="7" t="s">
        <v>20</v>
      </c>
      <c r="I6" s="9">
        <v>43</v>
      </c>
      <c r="J6" s="8">
        <v>2641</v>
      </c>
      <c r="K6" s="7" t="s">
        <v>32</v>
      </c>
      <c r="L6" s="7" t="s">
        <v>22</v>
      </c>
      <c r="M6" s="7" t="s">
        <v>33</v>
      </c>
      <c r="N6" s="7">
        <v>66000</v>
      </c>
      <c r="O6" s="10">
        <v>67000</v>
      </c>
      <c r="P6" s="11" t="s">
        <v>44</v>
      </c>
    </row>
    <row r="7" spans="1:16" s="3" customFormat="1" ht="41.5" customHeight="1" x14ac:dyDescent="0.5">
      <c r="A7" s="7">
        <v>2015</v>
      </c>
      <c r="B7" s="7" t="s">
        <v>45</v>
      </c>
      <c r="C7" s="7" t="s">
        <v>46</v>
      </c>
      <c r="D7" s="7" t="s">
        <v>47</v>
      </c>
      <c r="E7" s="7" t="s">
        <v>30</v>
      </c>
      <c r="F7" s="7" t="s">
        <v>18</v>
      </c>
      <c r="G7" s="8" t="s">
        <v>48</v>
      </c>
      <c r="H7" s="7" t="s">
        <v>20</v>
      </c>
      <c r="I7" s="9">
        <v>1</v>
      </c>
      <c r="J7" s="8">
        <v>5554</v>
      </c>
      <c r="K7" s="7" t="s">
        <v>32</v>
      </c>
      <c r="L7" s="7" t="s">
        <v>22</v>
      </c>
      <c r="M7" s="7" t="s">
        <v>49</v>
      </c>
      <c r="N7" s="7">
        <v>15350</v>
      </c>
      <c r="O7" s="10">
        <v>10900</v>
      </c>
      <c r="P7" s="11" t="s">
        <v>50</v>
      </c>
    </row>
    <row r="8" spans="1:16" s="3" customFormat="1" ht="41.5" customHeight="1" x14ac:dyDescent="0.5">
      <c r="A8" s="7">
        <v>2014</v>
      </c>
      <c r="B8" s="7" t="s">
        <v>27</v>
      </c>
      <c r="C8" s="7" t="s">
        <v>51</v>
      </c>
      <c r="D8" s="7" t="s">
        <v>52</v>
      </c>
      <c r="E8" s="7" t="s">
        <v>30</v>
      </c>
      <c r="F8" s="7" t="s">
        <v>18</v>
      </c>
      <c r="G8" s="8" t="s">
        <v>53</v>
      </c>
      <c r="H8" s="7" t="s">
        <v>20</v>
      </c>
      <c r="I8" s="9">
        <v>34</v>
      </c>
      <c r="J8" s="8">
        <v>14943</v>
      </c>
      <c r="K8" s="7" t="s">
        <v>22</v>
      </c>
      <c r="L8" s="7" t="s">
        <v>22</v>
      </c>
      <c r="M8" s="7" t="s">
        <v>54</v>
      </c>
      <c r="N8" s="7">
        <v>69000</v>
      </c>
      <c r="O8" s="10">
        <v>65000</v>
      </c>
      <c r="P8" s="11" t="s">
        <v>55</v>
      </c>
    </row>
    <row r="9" spans="1:16" s="3" customFormat="1" ht="41.5" customHeight="1" x14ac:dyDescent="0.5">
      <c r="A9" s="7">
        <v>2014</v>
      </c>
      <c r="B9" s="7" t="s">
        <v>56</v>
      </c>
      <c r="C9" s="7" t="s">
        <v>57</v>
      </c>
      <c r="D9" s="7" t="s">
        <v>58</v>
      </c>
      <c r="E9" s="7" t="s">
        <v>30</v>
      </c>
      <c r="F9" s="7" t="s">
        <v>18</v>
      </c>
      <c r="G9" s="8" t="s">
        <v>59</v>
      </c>
      <c r="H9" s="7" t="s">
        <v>20</v>
      </c>
      <c r="I9" s="9">
        <v>2</v>
      </c>
      <c r="J9" s="8">
        <v>28617</v>
      </c>
      <c r="K9" s="7" t="s">
        <v>22</v>
      </c>
      <c r="L9" s="7" t="s">
        <v>22</v>
      </c>
      <c r="M9" s="7" t="s">
        <v>49</v>
      </c>
      <c r="N9" s="7">
        <v>11900</v>
      </c>
      <c r="O9" s="10">
        <v>9800</v>
      </c>
      <c r="P9" s="11" t="s">
        <v>60</v>
      </c>
    </row>
    <row r="10" spans="1:16" s="3" customFormat="1" ht="41.5" customHeight="1" x14ac:dyDescent="0.5">
      <c r="A10" s="7">
        <v>2014</v>
      </c>
      <c r="B10" s="7" t="s">
        <v>61</v>
      </c>
      <c r="C10" s="7" t="s">
        <v>62</v>
      </c>
      <c r="D10" s="7" t="s">
        <v>63</v>
      </c>
      <c r="E10" s="7" t="s">
        <v>30</v>
      </c>
      <c r="F10" s="7" t="s">
        <v>18</v>
      </c>
      <c r="G10" s="8" t="s">
        <v>64</v>
      </c>
      <c r="H10" s="7" t="s">
        <v>20</v>
      </c>
      <c r="I10" s="9">
        <v>42</v>
      </c>
      <c r="J10" s="8">
        <v>9557</v>
      </c>
      <c r="K10" s="7" t="s">
        <v>21</v>
      </c>
      <c r="L10" s="7" t="s">
        <v>22</v>
      </c>
      <c r="M10" s="7" t="s">
        <v>65</v>
      </c>
      <c r="N10" s="7">
        <v>32100</v>
      </c>
      <c r="O10" s="10">
        <v>32250</v>
      </c>
      <c r="P10" s="11" t="s">
        <v>66</v>
      </c>
    </row>
    <row r="11" spans="1:16" s="3" customFormat="1" ht="41.5" customHeight="1" x14ac:dyDescent="0.5">
      <c r="A11" s="7">
        <v>2014</v>
      </c>
      <c r="B11" s="7" t="s">
        <v>56</v>
      </c>
      <c r="C11" s="7" t="s">
        <v>67</v>
      </c>
      <c r="D11" s="7" t="s">
        <v>68</v>
      </c>
      <c r="E11" s="7" t="s">
        <v>69</v>
      </c>
      <c r="F11" s="7" t="s">
        <v>18</v>
      </c>
      <c r="G11" s="8" t="s">
        <v>70</v>
      </c>
      <c r="H11" s="7" t="s">
        <v>20</v>
      </c>
      <c r="I11" s="9">
        <v>3</v>
      </c>
      <c r="J11" s="8">
        <v>4809</v>
      </c>
      <c r="K11" s="7" t="s">
        <v>71</v>
      </c>
      <c r="L11" s="7" t="s">
        <v>22</v>
      </c>
      <c r="M11" s="7" t="s">
        <v>72</v>
      </c>
      <c r="N11" s="7">
        <v>26300</v>
      </c>
      <c r="O11" s="10">
        <v>17500</v>
      </c>
      <c r="P11" s="11" t="s">
        <v>73</v>
      </c>
    </row>
    <row r="12" spans="1:16" s="3" customFormat="1" ht="41.5" customHeight="1" x14ac:dyDescent="0.5">
      <c r="A12" s="7">
        <v>2014</v>
      </c>
      <c r="B12" s="7" t="s">
        <v>61</v>
      </c>
      <c r="C12" s="7" t="s">
        <v>74</v>
      </c>
      <c r="D12" s="7" t="s">
        <v>75</v>
      </c>
      <c r="E12" s="7" t="s">
        <v>30</v>
      </c>
      <c r="F12" s="7" t="s">
        <v>18</v>
      </c>
      <c r="G12" s="8" t="s">
        <v>76</v>
      </c>
      <c r="H12" s="7" t="s">
        <v>20</v>
      </c>
      <c r="I12" s="9">
        <v>48</v>
      </c>
      <c r="J12" s="8">
        <v>14414</v>
      </c>
      <c r="K12" s="7" t="s">
        <v>22</v>
      </c>
      <c r="L12" s="7" t="s">
        <v>22</v>
      </c>
      <c r="M12" s="7" t="s">
        <v>77</v>
      </c>
      <c r="N12" s="7">
        <v>47300</v>
      </c>
      <c r="O12" s="10">
        <v>49750</v>
      </c>
      <c r="P12" s="11" t="s">
        <v>24</v>
      </c>
    </row>
    <row r="13" spans="1:16" s="3" customFormat="1" ht="41.5" customHeight="1" x14ac:dyDescent="0.5">
      <c r="A13" s="7">
        <v>2015</v>
      </c>
      <c r="B13" s="7" t="s">
        <v>14</v>
      </c>
      <c r="C13" s="7" t="s">
        <v>78</v>
      </c>
      <c r="D13" s="7" t="s">
        <v>16</v>
      </c>
      <c r="E13" s="7" t="s">
        <v>30</v>
      </c>
      <c r="F13" s="7" t="s">
        <v>18</v>
      </c>
      <c r="G13" s="8" t="s">
        <v>79</v>
      </c>
      <c r="H13" s="7" t="s">
        <v>20</v>
      </c>
      <c r="I13" s="9">
        <v>48</v>
      </c>
      <c r="J13" s="8">
        <v>2034</v>
      </c>
      <c r="K13" s="7" t="s">
        <v>71</v>
      </c>
      <c r="L13" s="7" t="s">
        <v>80</v>
      </c>
      <c r="M13" s="7" t="s">
        <v>81</v>
      </c>
      <c r="N13" s="7">
        <v>15150</v>
      </c>
      <c r="O13" s="10">
        <v>17700</v>
      </c>
      <c r="P13" s="11" t="s">
        <v>82</v>
      </c>
    </row>
    <row r="14" spans="1:16" s="3" customFormat="1" ht="41.5" customHeight="1" x14ac:dyDescent="0.5">
      <c r="A14" s="7">
        <v>2015</v>
      </c>
      <c r="B14" s="7" t="s">
        <v>83</v>
      </c>
      <c r="C14" s="7" t="s">
        <v>84</v>
      </c>
      <c r="D14" s="7" t="s">
        <v>85</v>
      </c>
      <c r="E14" s="7" t="s">
        <v>30</v>
      </c>
      <c r="F14" s="7" t="s">
        <v>18</v>
      </c>
      <c r="G14" s="8" t="s">
        <v>86</v>
      </c>
      <c r="H14" s="7" t="s">
        <v>20</v>
      </c>
      <c r="I14" s="9">
        <v>2</v>
      </c>
      <c r="J14" s="8">
        <v>5559</v>
      </c>
      <c r="K14" s="7" t="s">
        <v>21</v>
      </c>
      <c r="L14" s="7" t="s">
        <v>26</v>
      </c>
      <c r="M14" s="7" t="s">
        <v>49</v>
      </c>
      <c r="N14" s="7">
        <v>15350</v>
      </c>
      <c r="O14" s="10">
        <v>12000</v>
      </c>
      <c r="P14" s="11" t="s">
        <v>87</v>
      </c>
    </row>
    <row r="15" spans="1:16" s="3" customFormat="1" ht="41.5" customHeight="1" x14ac:dyDescent="0.5">
      <c r="A15" s="7">
        <v>2015</v>
      </c>
      <c r="B15" s="7" t="s">
        <v>14</v>
      </c>
      <c r="C15" s="7" t="s">
        <v>15</v>
      </c>
      <c r="D15" s="7" t="s">
        <v>16</v>
      </c>
      <c r="E15" s="7" t="s">
        <v>17</v>
      </c>
      <c r="F15" s="7" t="s">
        <v>18</v>
      </c>
      <c r="G15" s="8" t="s">
        <v>88</v>
      </c>
      <c r="H15" s="7" t="s">
        <v>20</v>
      </c>
      <c r="I15" s="9">
        <v>5</v>
      </c>
      <c r="J15" s="8">
        <v>14634</v>
      </c>
      <c r="K15" s="7" t="s">
        <v>89</v>
      </c>
      <c r="L15" s="7" t="s">
        <v>22</v>
      </c>
      <c r="M15" s="7" t="s">
        <v>23</v>
      </c>
      <c r="N15" s="7">
        <v>20600</v>
      </c>
      <c r="O15" s="10">
        <v>21500</v>
      </c>
      <c r="P15" s="11" t="s">
        <v>24</v>
      </c>
    </row>
    <row r="16" spans="1:16" s="3" customFormat="1" ht="41.5" customHeight="1" x14ac:dyDescent="0.5">
      <c r="A16" s="7">
        <v>2014</v>
      </c>
      <c r="B16" s="7" t="s">
        <v>56</v>
      </c>
      <c r="C16" s="7" t="s">
        <v>57</v>
      </c>
      <c r="D16" s="7" t="s">
        <v>90</v>
      </c>
      <c r="E16" s="7" t="s">
        <v>30</v>
      </c>
      <c r="F16" s="7" t="s">
        <v>18</v>
      </c>
      <c r="G16" s="8" t="s">
        <v>91</v>
      </c>
      <c r="H16" s="7" t="s">
        <v>20</v>
      </c>
      <c r="I16" s="9"/>
      <c r="J16" s="8">
        <v>15686</v>
      </c>
      <c r="K16" s="7" t="s">
        <v>92</v>
      </c>
      <c r="L16" s="7" t="s">
        <v>22</v>
      </c>
      <c r="M16" s="7" t="s">
        <v>93</v>
      </c>
      <c r="N16" s="7">
        <v>13900</v>
      </c>
      <c r="O16" s="10">
        <v>10600</v>
      </c>
      <c r="P16" s="11" t="s">
        <v>82</v>
      </c>
    </row>
    <row r="17" spans="1:16" s="3" customFormat="1" ht="41.5" customHeight="1" x14ac:dyDescent="0.5">
      <c r="A17" s="7">
        <v>2015</v>
      </c>
      <c r="B17" s="7" t="s">
        <v>45</v>
      </c>
      <c r="C17" s="7" t="s">
        <v>46</v>
      </c>
      <c r="D17" s="7" t="s">
        <v>47</v>
      </c>
      <c r="E17" s="7" t="s">
        <v>30</v>
      </c>
      <c r="F17" s="7" t="s">
        <v>18</v>
      </c>
      <c r="G17" s="8" t="s">
        <v>94</v>
      </c>
      <c r="H17" s="7" t="s">
        <v>20</v>
      </c>
      <c r="I17" s="9">
        <v>2</v>
      </c>
      <c r="J17" s="8">
        <v>11398</v>
      </c>
      <c r="K17" s="7" t="s">
        <v>22</v>
      </c>
      <c r="L17" s="7" t="s">
        <v>22</v>
      </c>
      <c r="M17" s="7" t="s">
        <v>49</v>
      </c>
      <c r="N17" s="7">
        <v>14750</v>
      </c>
      <c r="O17" s="10">
        <v>14100</v>
      </c>
      <c r="P17" s="11" t="s">
        <v>95</v>
      </c>
    </row>
    <row r="18" spans="1:16" s="3" customFormat="1" ht="41.5" customHeight="1" x14ac:dyDescent="0.5">
      <c r="A18" s="7">
        <v>2015</v>
      </c>
      <c r="B18" s="7" t="s">
        <v>96</v>
      </c>
      <c r="C18" s="7" t="s">
        <v>97</v>
      </c>
      <c r="D18" s="7" t="s">
        <v>85</v>
      </c>
      <c r="E18" s="7" t="s">
        <v>30</v>
      </c>
      <c r="F18" s="7" t="s">
        <v>18</v>
      </c>
      <c r="G18" s="8" t="s">
        <v>98</v>
      </c>
      <c r="H18" s="7" t="s">
        <v>20</v>
      </c>
      <c r="I18" s="9"/>
      <c r="J18" s="8">
        <v>8311</v>
      </c>
      <c r="K18" s="7" t="s">
        <v>71</v>
      </c>
      <c r="L18" s="7" t="s">
        <v>99</v>
      </c>
      <c r="M18" s="7" t="s">
        <v>100</v>
      </c>
      <c r="N18" s="7">
        <v>15200</v>
      </c>
      <c r="O18" s="10">
        <v>4200</v>
      </c>
      <c r="P18" s="11" t="s">
        <v>60</v>
      </c>
    </row>
    <row r="19" spans="1:16" s="3" customFormat="1" ht="41.5" customHeight="1" x14ac:dyDescent="0.5">
      <c r="A19" s="7">
        <v>2014</v>
      </c>
      <c r="B19" s="7" t="s">
        <v>61</v>
      </c>
      <c r="C19" s="7" t="s">
        <v>101</v>
      </c>
      <c r="D19" s="7" t="s">
        <v>63</v>
      </c>
      <c r="E19" s="7" t="s">
        <v>17</v>
      </c>
      <c r="F19" s="7" t="s">
        <v>18</v>
      </c>
      <c r="G19" s="8" t="s">
        <v>102</v>
      </c>
      <c r="H19" s="7" t="s">
        <v>20</v>
      </c>
      <c r="I19" s="9">
        <v>49</v>
      </c>
      <c r="J19" s="8">
        <v>7983</v>
      </c>
      <c r="K19" s="7" t="s">
        <v>21</v>
      </c>
      <c r="L19" s="7" t="s">
        <v>22</v>
      </c>
      <c r="M19" s="7" t="s">
        <v>103</v>
      </c>
      <c r="N19" s="7">
        <v>37100</v>
      </c>
      <c r="O19" s="10">
        <v>40000</v>
      </c>
      <c r="P19" s="11" t="s">
        <v>44</v>
      </c>
    </row>
    <row r="20" spans="1:16" s="3" customFormat="1" ht="41.5" customHeight="1" x14ac:dyDescent="0.5">
      <c r="A20" s="7">
        <v>2014</v>
      </c>
      <c r="B20" s="7" t="s">
        <v>56</v>
      </c>
      <c r="C20" s="7" t="s">
        <v>67</v>
      </c>
      <c r="D20" s="7" t="s">
        <v>104</v>
      </c>
      <c r="E20" s="7" t="s">
        <v>105</v>
      </c>
      <c r="F20" s="7" t="s">
        <v>18</v>
      </c>
      <c r="G20" s="8" t="s">
        <v>106</v>
      </c>
      <c r="H20" s="7" t="s">
        <v>20</v>
      </c>
      <c r="I20" s="9">
        <v>17</v>
      </c>
      <c r="J20" s="8">
        <v>13441</v>
      </c>
      <c r="K20" s="7" t="s">
        <v>22</v>
      </c>
      <c r="L20" s="7" t="s">
        <v>22</v>
      </c>
      <c r="M20" s="7" t="s">
        <v>107</v>
      </c>
      <c r="N20" s="7">
        <v>17750</v>
      </c>
      <c r="O20" s="10">
        <v>17000</v>
      </c>
      <c r="P20" s="11" t="s">
        <v>108</v>
      </c>
    </row>
    <row r="21" spans="1:16" ht="42.5" customHeight="1" x14ac:dyDescent="0.35"/>
    <row r="22" spans="1:16" ht="41.5" customHeight="1" x14ac:dyDescent="0.35">
      <c r="O22" s="4" t="s">
        <v>109</v>
      </c>
    </row>
    <row r="23" spans="1:16" ht="41.5" customHeight="1" x14ac:dyDescent="0.5">
      <c r="O23" s="5">
        <f>SUM(O2:O20)</f>
        <v>490050</v>
      </c>
    </row>
    <row r="1048576" spans="15:15" x14ac:dyDescent="0.35">
      <c r="O1048576">
        <f>SUM(O23)</f>
        <v>490050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Alam</dc:creator>
  <cp:lastModifiedBy>Anas Alam</cp:lastModifiedBy>
  <dcterms:created xsi:type="dcterms:W3CDTF">2026-04-07T12:49:59Z</dcterms:created>
  <dcterms:modified xsi:type="dcterms:W3CDTF">2026-04-08T07:00:36Z</dcterms:modified>
</cp:coreProperties>
</file>